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wolf\Documents\KiCad\Projects\iMX6_BareBones\Power\"/>
    </mc:Choice>
  </mc:AlternateContent>
  <xr:revisionPtr revIDLastSave="0" documentId="13_ncr:1_{53B44A73-1CE6-4655-95CD-634EAD92F76B}" xr6:coauthVersionLast="47" xr6:coauthVersionMax="47" xr10:uidLastSave="{00000000-0000-0000-0000-000000000000}"/>
  <bookViews>
    <workbookView xWindow="-120" yWindow="-120" windowWidth="38640" windowHeight="21240" activeTab="2" xr2:uid="{9B182E7A-A04F-4B65-A2EC-834A642ABC49}"/>
  </bookViews>
  <sheets>
    <sheet name="Power Budget" sheetId="1" r:id="rId1"/>
    <sheet name="P5V OVLO" sheetId="2" r:id="rId2"/>
    <sheet name="P3V3" sheetId="3" r:id="rId3"/>
    <sheet name="P1V4_SOC &amp; P1V35_DRAM" sheetId="5" r:id="rId4"/>
  </sheets>
  <definedNames>
    <definedName name="_xlnm._FilterDatabase" localSheetId="0" hidden="1">'Power Budget'!$B$2:$J$25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6" i="3" l="1"/>
  <c r="C33" i="3"/>
  <c r="F32" i="5"/>
  <c r="C32" i="5"/>
  <c r="AF21" i="3"/>
  <c r="AF19" i="3"/>
  <c r="AF20" i="3"/>
  <c r="Y7" i="3"/>
  <c r="Y10" i="3" s="1"/>
  <c r="D6" i="2" l="1"/>
  <c r="E5" i="2"/>
  <c r="C5" i="2"/>
  <c r="H4" i="2"/>
  <c r="E4" i="2"/>
  <c r="E6" i="2" s="1"/>
  <c r="C4" i="2"/>
  <c r="C6" i="2" s="1"/>
  <c r="F11" i="1"/>
  <c r="F12" i="1"/>
  <c r="F13" i="1"/>
  <c r="F14" i="1"/>
  <c r="F15" i="1"/>
  <c r="F16" i="1"/>
  <c r="F10" i="1"/>
</calcChain>
</file>

<file path=xl/sharedStrings.xml><?xml version="1.0" encoding="utf-8"?>
<sst xmlns="http://schemas.openxmlformats.org/spreadsheetml/2006/main" count="143" uniqueCount="74">
  <si>
    <t>VDD_SOC_IN</t>
  </si>
  <si>
    <t>VDD_HIGH_IN</t>
  </si>
  <si>
    <t>VDD_SNVS_IN</t>
  </si>
  <si>
    <t>NVCC_DRAM</t>
  </si>
  <si>
    <t>VDDA_ADC_3P3</t>
  </si>
  <si>
    <t>Rail</t>
  </si>
  <si>
    <t>Voltage</t>
  </si>
  <si>
    <t>USB_OTG1_VBUS</t>
  </si>
  <si>
    <t>USB_OTG2_VBUS</t>
  </si>
  <si>
    <t>NVCC_SD1</t>
  </si>
  <si>
    <t>NVCC_NAND</t>
  </si>
  <si>
    <t>NVCC_CSI</t>
  </si>
  <si>
    <t>NVCC_LCD</t>
  </si>
  <si>
    <t>NVCC_ENET</t>
  </si>
  <si>
    <t>NVCC_UART</t>
  </si>
  <si>
    <t>NVCC_GPIO</t>
  </si>
  <si>
    <t>Device</t>
  </si>
  <si>
    <t>iMX6</t>
  </si>
  <si>
    <t>P3V3</t>
  </si>
  <si>
    <t>P3V3_STBY</t>
  </si>
  <si>
    <t>P1V35_DRAM</t>
  </si>
  <si>
    <t>P1V4_SOC</t>
  </si>
  <si>
    <t>P1V8</t>
  </si>
  <si>
    <t>Continuous Max (mA)</t>
  </si>
  <si>
    <t>Sequence</t>
  </si>
  <si>
    <t>N (IO pins)</t>
  </si>
  <si>
    <t>DRAM_VREF</t>
  </si>
  <si>
    <t>C (cap load, pF)</t>
  </si>
  <si>
    <t>Freq (Hz)</t>
  </si>
  <si>
    <t>N/A</t>
  </si>
  <si>
    <t>MT41K256M16TW-107</t>
  </si>
  <si>
    <t>Pins</t>
  </si>
  <si>
    <t>VDD/VDDQ</t>
  </si>
  <si>
    <t>CP2102N</t>
  </si>
  <si>
    <t>VREGIN/VDD</t>
  </si>
  <si>
    <t>eMMC</t>
  </si>
  <si>
    <t>VCCQ</t>
  </si>
  <si>
    <t>uSD</t>
  </si>
  <si>
    <t>VDD</t>
  </si>
  <si>
    <t>VCC</t>
  </si>
  <si>
    <t>QSPI Flash</t>
  </si>
  <si>
    <t>KSZ8081 phy</t>
  </si>
  <si>
    <t>VDDA/VDDIO</t>
  </si>
  <si>
    <t>CAN transceiver (x2)</t>
  </si>
  <si>
    <t>VIO</t>
  </si>
  <si>
    <t>P5V</t>
  </si>
  <si>
    <t>Vth(ovlo)</t>
  </si>
  <si>
    <t>Vovlo</t>
  </si>
  <si>
    <t>min</t>
  </si>
  <si>
    <t>typical</t>
  </si>
  <si>
    <t>max</t>
  </si>
  <si>
    <t>R1</t>
  </si>
  <si>
    <t>R2</t>
  </si>
  <si>
    <t>R2 actual</t>
  </si>
  <si>
    <t>R2 calculated</t>
  </si>
  <si>
    <t>Vovlo desired</t>
  </si>
  <si>
    <t>From NX20P5090 datasheet:</t>
  </si>
  <si>
    <t>From MPS2182 Datasheet:</t>
  </si>
  <si>
    <t>Vout</t>
  </si>
  <si>
    <t>Vin</t>
  </si>
  <si>
    <t>Max I (A)</t>
  </si>
  <si>
    <t>delta I</t>
  </si>
  <si>
    <t>fosc</t>
  </si>
  <si>
    <t>L</t>
  </si>
  <si>
    <t>Calculated value outside of recommended range, will select 1uH.</t>
  </si>
  <si>
    <t>For 3.3V, selected 200k and 44.2k</t>
  </si>
  <si>
    <t>Selected X7R, 10uF input cap</t>
  </si>
  <si>
    <t>fsw</t>
  </si>
  <si>
    <t>C2</t>
  </si>
  <si>
    <t>L1</t>
  </si>
  <si>
    <t>delta Vout</t>
  </si>
  <si>
    <t>Select 22uF for output capacitor</t>
  </si>
  <si>
    <t>Vout actual</t>
  </si>
  <si>
    <t>R2 select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</si>
</sst>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6" Type="http://schemas.openxmlformats.org/officeDocument/2006/relationships/image" Target="../media/image9.png"/><Relationship Id="rId5" Type="http://schemas.openxmlformats.org/officeDocument/2006/relationships/image" Target="../media/image8.png"/><Relationship Id="rId4" Type="http://schemas.openxmlformats.org/officeDocument/2006/relationships/image" Target="../media/image7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552450</xdr:colOff>
      <xdr:row>19</xdr:row>
      <xdr:rowOff>114300</xdr:rowOff>
    </xdr:from>
    <xdr:to>
      <xdr:col>23</xdr:col>
      <xdr:colOff>581025</xdr:colOff>
      <xdr:row>22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235BF4-18B1-D14D-F660-0615D0C3A0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48525" y="3733800"/>
          <a:ext cx="7953375" cy="476250"/>
        </a:xfrm>
        <a:prstGeom prst="rect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561975</xdr:colOff>
      <xdr:row>4</xdr:row>
      <xdr:rowOff>85725</xdr:rowOff>
    </xdr:from>
    <xdr:to>
      <xdr:col>22</xdr:col>
      <xdr:colOff>228600</xdr:colOff>
      <xdr:row>18</xdr:row>
      <xdr:rowOff>85725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C390233-8A17-6701-1E39-5973125FEA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58050" y="847725"/>
          <a:ext cx="6981825" cy="2667000"/>
        </a:xfrm>
        <a:prstGeom prst="rect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504825</xdr:colOff>
      <xdr:row>23</xdr:row>
      <xdr:rowOff>38100</xdr:rowOff>
    </xdr:from>
    <xdr:to>
      <xdr:col>23</xdr:col>
      <xdr:colOff>552450</xdr:colOff>
      <xdr:row>41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FF8C02D-C2FF-D508-1AF5-7F750A1762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00900" y="4419600"/>
          <a:ext cx="7972425" cy="3390900"/>
        </a:xfrm>
        <a:prstGeom prst="rect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152400</xdr:colOff>
      <xdr:row>2</xdr:row>
      <xdr:rowOff>152400</xdr:rowOff>
    </xdr:from>
    <xdr:to>
      <xdr:col>7</xdr:col>
      <xdr:colOff>285750</xdr:colOff>
      <xdr:row>28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1FAD718-B133-C749-350B-7448F5C5A5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33400"/>
          <a:ext cx="3914775" cy="4810125"/>
        </a:xfrm>
        <a:prstGeom prst="rect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304800</xdr:colOff>
      <xdr:row>2</xdr:row>
      <xdr:rowOff>171450</xdr:rowOff>
    </xdr:from>
    <xdr:to>
      <xdr:col>15</xdr:col>
      <xdr:colOff>47625</xdr:colOff>
      <xdr:row>16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ECD30E-306C-DEA5-D386-97C6E9CA0B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81600" y="552450"/>
          <a:ext cx="4010025" cy="2609850"/>
        </a:xfrm>
        <a:prstGeom prst="rect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76200</xdr:colOff>
      <xdr:row>2</xdr:row>
      <xdr:rowOff>180975</xdr:rowOff>
    </xdr:from>
    <xdr:to>
      <xdr:col>22</xdr:col>
      <xdr:colOff>342900</xdr:colOff>
      <xdr:row>27</xdr:row>
      <xdr:rowOff>171450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BD60CFB-B14E-7630-1629-64CBDBD60A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29800" y="561975"/>
          <a:ext cx="3924300" cy="4752975"/>
        </a:xfrm>
        <a:prstGeom prst="rect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28575</xdr:colOff>
      <xdr:row>13</xdr:row>
      <xdr:rowOff>161925</xdr:rowOff>
    </xdr:from>
    <xdr:to>
      <xdr:col>29</xdr:col>
      <xdr:colOff>152400</xdr:colOff>
      <xdr:row>19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4C3B3A9-4327-1782-72FA-BC47D61E21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49375" y="2638425"/>
          <a:ext cx="3971925" cy="981075"/>
        </a:xfrm>
        <a:prstGeom prst="rect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581025</xdr:colOff>
      <xdr:row>2</xdr:row>
      <xdr:rowOff>152400</xdr:rowOff>
    </xdr:from>
    <xdr:to>
      <xdr:col>36</xdr:col>
      <xdr:colOff>190500</xdr:colOff>
      <xdr:row>13</xdr:row>
      <xdr:rowOff>38100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CF8A617-5093-F060-8EB1-4053FC6228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49925" y="533400"/>
          <a:ext cx="3971925" cy="1981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114300</xdr:colOff>
      <xdr:row>37</xdr:row>
      <xdr:rowOff>66675</xdr:rowOff>
    </xdr:from>
    <xdr:to>
      <xdr:col>7</xdr:col>
      <xdr:colOff>466725</xdr:colOff>
      <xdr:row>50</xdr:row>
      <xdr:rowOff>104775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F2228D2-23EB-AF7E-17C5-AF40FF4F95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900" y="7115175"/>
          <a:ext cx="4133850" cy="2514600"/>
        </a:xfrm>
        <a:prstGeom prst="rect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123825</xdr:colOff>
      <xdr:row>1</xdr:row>
      <xdr:rowOff>66675</xdr:rowOff>
    </xdr:from>
    <xdr:to>
      <xdr:col>23</xdr:col>
      <xdr:colOff>0</xdr:colOff>
      <xdr:row>29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A91D286-7C7F-18DF-CD02-45BFE85608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257175"/>
          <a:ext cx="13287375" cy="5343525"/>
        </a:xfrm>
        <a:prstGeom prst="rect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642CA-0920-4E83-B19B-B3388E729E93}">
  <sheetPr filterMode="1"/>
  <dimension ref="B2:J25"/>
  <sheetViews>
    <sheetView workbookViewId="0">
      <selection activeCell="F37" sqref="F37"/>
    </sheetView>
  </sheetViews>
  <sheetFormatPr defaultRowHeight="15" x14ac:dyDescent="0.25"/>
  <cols>
    <col min="2" max="2" width="20.42578125" bestFit="1" customWidth="1"/>
    <col min="3" max="3" width="17.140625" customWidth="1"/>
    <col min="5" max="5" width="14.140625" customWidth="1"/>
    <col min="6" max="6" width="23.42578125" customWidth="1"/>
    <col min="7" max="7" width="12.42578125" customWidth="1"/>
    <col min="8" max="8" width="14.5703125" customWidth="1"/>
    <col min="9" max="9" width="12.42578125" customWidth="1"/>
    <col min="10" max="10" width="12.28515625" customWidth="1"/>
  </cols>
  <sheetData>
    <row r="2" spans="2:10" x14ac:dyDescent="0.25">
      <c r="B2" s="2" t="s">
        <v>16</v>
      </c>
      <c r="C2" s="2" t="s">
        <v>31</v>
      </c>
      <c r="D2" s="2" t="s">
        <v>6</v>
      </c>
      <c r="E2" s="2" t="s">
        <v>5</v>
      </c>
      <c r="F2" s="2" t="s">
        <v>23</v>
      </c>
      <c r="G2" s="2" t="s">
        <v>25</v>
      </c>
      <c r="H2" s="2" t="s">
        <v>27</v>
      </c>
      <c r="I2" s="2" t="s">
        <v>28</v>
      </c>
      <c r="J2" s="2" t="s">
        <v>24</v>
      </c>
    </row>
    <row r="3" spans="2:10" hidden="1" x14ac:dyDescent="0.25">
      <c r="B3" t="s">
        <v>17</v>
      </c>
      <c r="C3" t="s">
        <v>0</v>
      </c>
      <c r="D3">
        <v>1.4</v>
      </c>
      <c r="E3" t="s">
        <v>21</v>
      </c>
      <c r="F3">
        <v>500</v>
      </c>
      <c r="G3" t="s">
        <v>29</v>
      </c>
      <c r="H3" t="s">
        <v>29</v>
      </c>
      <c r="I3" t="s">
        <v>29</v>
      </c>
      <c r="J3">
        <v>3</v>
      </c>
    </row>
    <row r="4" spans="2:10" x14ac:dyDescent="0.25">
      <c r="B4" t="s">
        <v>17</v>
      </c>
      <c r="C4" t="s">
        <v>1</v>
      </c>
      <c r="D4">
        <v>3.3</v>
      </c>
      <c r="E4" t="s">
        <v>18</v>
      </c>
      <c r="F4">
        <v>125</v>
      </c>
      <c r="G4" t="s">
        <v>29</v>
      </c>
      <c r="H4" t="s">
        <v>29</v>
      </c>
      <c r="I4" t="s">
        <v>29</v>
      </c>
      <c r="J4">
        <v>2</v>
      </c>
    </row>
    <row r="5" spans="2:10" x14ac:dyDescent="0.25">
      <c r="B5" t="s">
        <v>17</v>
      </c>
      <c r="C5" t="s">
        <v>2</v>
      </c>
      <c r="D5">
        <v>3.3</v>
      </c>
      <c r="E5" t="s">
        <v>19</v>
      </c>
      <c r="F5">
        <v>0.5</v>
      </c>
      <c r="G5" t="s">
        <v>29</v>
      </c>
      <c r="H5" t="s">
        <v>29</v>
      </c>
      <c r="I5" t="s">
        <v>29</v>
      </c>
      <c r="J5">
        <v>1</v>
      </c>
    </row>
    <row r="6" spans="2:10" hidden="1" x14ac:dyDescent="0.25">
      <c r="B6" t="s">
        <v>17</v>
      </c>
      <c r="C6" t="s">
        <v>3</v>
      </c>
      <c r="D6">
        <v>1.35</v>
      </c>
      <c r="E6" t="s">
        <v>20</v>
      </c>
      <c r="F6">
        <v>50</v>
      </c>
      <c r="G6" t="s">
        <v>29</v>
      </c>
      <c r="H6" t="s">
        <v>29</v>
      </c>
      <c r="I6" t="s">
        <v>29</v>
      </c>
    </row>
    <row r="7" spans="2:10" x14ac:dyDescent="0.25">
      <c r="B7" t="s">
        <v>17</v>
      </c>
      <c r="C7" t="s">
        <v>4</v>
      </c>
      <c r="D7">
        <v>3.3</v>
      </c>
      <c r="E7" t="s">
        <v>18</v>
      </c>
      <c r="F7">
        <v>35</v>
      </c>
      <c r="G7" t="s">
        <v>29</v>
      </c>
      <c r="H7" t="s">
        <v>29</v>
      </c>
      <c r="I7" t="s">
        <v>29</v>
      </c>
    </row>
    <row r="8" spans="2:10" hidden="1" x14ac:dyDescent="0.25">
      <c r="B8" t="s">
        <v>17</v>
      </c>
      <c r="C8" t="s">
        <v>7</v>
      </c>
      <c r="D8">
        <v>5</v>
      </c>
      <c r="E8" t="s">
        <v>45</v>
      </c>
      <c r="F8">
        <v>50</v>
      </c>
      <c r="G8" t="s">
        <v>29</v>
      </c>
      <c r="H8" t="s">
        <v>29</v>
      </c>
      <c r="I8" t="s">
        <v>29</v>
      </c>
    </row>
    <row r="9" spans="2:10" hidden="1" x14ac:dyDescent="0.25">
      <c r="B9" t="s">
        <v>17</v>
      </c>
      <c r="C9" t="s">
        <v>8</v>
      </c>
      <c r="D9">
        <v>5</v>
      </c>
      <c r="E9" t="s">
        <v>45</v>
      </c>
      <c r="F9">
        <v>50</v>
      </c>
      <c r="G9" t="s">
        <v>29</v>
      </c>
      <c r="H9" t="s">
        <v>29</v>
      </c>
      <c r="I9" t="s">
        <v>29</v>
      </c>
    </row>
    <row r="10" spans="2:10" x14ac:dyDescent="0.25">
      <c r="B10" t="s">
        <v>17</v>
      </c>
      <c r="C10" t="s">
        <v>9</v>
      </c>
      <c r="D10">
        <v>3.3</v>
      </c>
      <c r="E10" t="s">
        <v>18</v>
      </c>
      <c r="F10" s="1">
        <f>D10*G10*H10*I10*10^-9</f>
        <v>9.8999999999999986</v>
      </c>
      <c r="G10">
        <v>6</v>
      </c>
      <c r="H10">
        <v>10</v>
      </c>
      <c r="I10">
        <v>50000000</v>
      </c>
    </row>
    <row r="11" spans="2:10" x14ac:dyDescent="0.25">
      <c r="B11" t="s">
        <v>17</v>
      </c>
      <c r="C11" t="s">
        <v>10</v>
      </c>
      <c r="D11">
        <v>1.8</v>
      </c>
      <c r="E11" t="s">
        <v>22</v>
      </c>
      <c r="F11" s="1">
        <f t="shared" ref="F11:F16" si="0">D11*G11*H11*I11*10^-9</f>
        <v>6.12</v>
      </c>
      <c r="G11">
        <v>17</v>
      </c>
      <c r="H11">
        <v>10</v>
      </c>
      <c r="I11">
        <v>20000000</v>
      </c>
    </row>
    <row r="12" spans="2:10" x14ac:dyDescent="0.25">
      <c r="B12" t="s">
        <v>17</v>
      </c>
      <c r="C12" t="s">
        <v>11</v>
      </c>
      <c r="D12">
        <v>1.8</v>
      </c>
      <c r="E12" t="s">
        <v>22</v>
      </c>
      <c r="F12" s="1">
        <f t="shared" si="0"/>
        <v>2.5920000000000001</v>
      </c>
      <c r="G12">
        <v>12</v>
      </c>
      <c r="H12">
        <v>10</v>
      </c>
      <c r="I12">
        <v>12000000</v>
      </c>
    </row>
    <row r="13" spans="2:10" x14ac:dyDescent="0.25">
      <c r="B13" t="s">
        <v>17</v>
      </c>
      <c r="C13" t="s">
        <v>12</v>
      </c>
      <c r="D13">
        <v>3.3</v>
      </c>
      <c r="E13" t="s">
        <v>18</v>
      </c>
      <c r="F13" s="1">
        <f t="shared" si="0"/>
        <v>28.709999999999997</v>
      </c>
      <c r="G13">
        <v>29</v>
      </c>
      <c r="H13">
        <v>10</v>
      </c>
      <c r="I13">
        <v>30000000</v>
      </c>
    </row>
    <row r="14" spans="2:10" x14ac:dyDescent="0.25">
      <c r="B14" t="s">
        <v>17</v>
      </c>
      <c r="C14" t="s">
        <v>13</v>
      </c>
      <c r="D14">
        <v>3.3</v>
      </c>
      <c r="E14" t="s">
        <v>18</v>
      </c>
      <c r="F14" s="1">
        <f t="shared" si="0"/>
        <v>13.200000000000001</v>
      </c>
      <c r="G14">
        <v>16</v>
      </c>
      <c r="H14">
        <v>10</v>
      </c>
      <c r="I14">
        <v>25000000</v>
      </c>
    </row>
    <row r="15" spans="2:10" x14ac:dyDescent="0.25">
      <c r="B15" t="s">
        <v>17</v>
      </c>
      <c r="C15" t="s">
        <v>14</v>
      </c>
      <c r="D15">
        <v>3.3</v>
      </c>
      <c r="E15" t="s">
        <v>18</v>
      </c>
      <c r="F15" s="1">
        <f t="shared" si="0"/>
        <v>6.0825600000000001E-2</v>
      </c>
      <c r="G15">
        <v>16</v>
      </c>
      <c r="H15">
        <v>10</v>
      </c>
      <c r="I15">
        <v>115200</v>
      </c>
    </row>
    <row r="16" spans="2:10" x14ac:dyDescent="0.25">
      <c r="B16" t="s">
        <v>17</v>
      </c>
      <c r="C16" t="s">
        <v>15</v>
      </c>
      <c r="D16">
        <v>3.3</v>
      </c>
      <c r="E16" t="s">
        <v>18</v>
      </c>
      <c r="F16" s="1">
        <f t="shared" si="0"/>
        <v>3.3000000000000004E-3</v>
      </c>
      <c r="G16">
        <v>10</v>
      </c>
      <c r="H16">
        <v>10</v>
      </c>
      <c r="I16">
        <v>10000</v>
      </c>
    </row>
    <row r="17" spans="2:9" hidden="1" x14ac:dyDescent="0.25">
      <c r="B17" t="s">
        <v>17</v>
      </c>
      <c r="C17" t="s">
        <v>26</v>
      </c>
      <c r="D17">
        <v>1.35</v>
      </c>
      <c r="E17" t="s">
        <v>20</v>
      </c>
      <c r="F17">
        <v>1</v>
      </c>
      <c r="G17" t="s">
        <v>29</v>
      </c>
      <c r="H17" t="s">
        <v>29</v>
      </c>
      <c r="I17" t="s">
        <v>29</v>
      </c>
    </row>
    <row r="18" spans="2:9" hidden="1" x14ac:dyDescent="0.25">
      <c r="B18" t="s">
        <v>30</v>
      </c>
      <c r="C18" t="s">
        <v>32</v>
      </c>
      <c r="D18">
        <v>1.35</v>
      </c>
      <c r="E18" t="s">
        <v>20</v>
      </c>
      <c r="F18">
        <v>320</v>
      </c>
    </row>
    <row r="19" spans="2:9" x14ac:dyDescent="0.25">
      <c r="B19" t="s">
        <v>33</v>
      </c>
      <c r="C19" t="s">
        <v>34</v>
      </c>
      <c r="D19">
        <v>3.3</v>
      </c>
      <c r="E19" t="s">
        <v>18</v>
      </c>
      <c r="F19">
        <v>9.5</v>
      </c>
    </row>
    <row r="20" spans="2:9" x14ac:dyDescent="0.25">
      <c r="B20" t="s">
        <v>35</v>
      </c>
      <c r="C20" t="s">
        <v>36</v>
      </c>
      <c r="D20">
        <v>1.8</v>
      </c>
      <c r="E20" t="s">
        <v>22</v>
      </c>
      <c r="F20">
        <v>185</v>
      </c>
    </row>
    <row r="21" spans="2:9" x14ac:dyDescent="0.25">
      <c r="B21" t="s">
        <v>37</v>
      </c>
      <c r="C21" t="s">
        <v>38</v>
      </c>
      <c r="D21">
        <v>3.3</v>
      </c>
      <c r="E21" t="s">
        <v>18</v>
      </c>
      <c r="F21">
        <v>300</v>
      </c>
    </row>
    <row r="22" spans="2:9" x14ac:dyDescent="0.25">
      <c r="B22" t="s">
        <v>40</v>
      </c>
      <c r="C22" t="s">
        <v>39</v>
      </c>
      <c r="D22">
        <v>3.3</v>
      </c>
      <c r="E22" t="s">
        <v>18</v>
      </c>
      <c r="F22">
        <v>17</v>
      </c>
    </row>
    <row r="23" spans="2:9" x14ac:dyDescent="0.25">
      <c r="B23" t="s">
        <v>41</v>
      </c>
      <c r="C23" t="s">
        <v>42</v>
      </c>
      <c r="D23">
        <v>3.3</v>
      </c>
      <c r="E23" t="s">
        <v>18</v>
      </c>
      <c r="F23">
        <v>47</v>
      </c>
    </row>
    <row r="24" spans="2:9" hidden="1" x14ac:dyDescent="0.25">
      <c r="B24" t="s">
        <v>43</v>
      </c>
      <c r="C24" t="s">
        <v>39</v>
      </c>
      <c r="D24">
        <v>5</v>
      </c>
      <c r="E24" t="s">
        <v>45</v>
      </c>
      <c r="F24">
        <v>140</v>
      </c>
    </row>
    <row r="25" spans="2:9" x14ac:dyDescent="0.25">
      <c r="B25" t="s">
        <v>43</v>
      </c>
      <c r="C25" t="s">
        <v>44</v>
      </c>
      <c r="D25">
        <v>3.3</v>
      </c>
      <c r="E25" t="s">
        <v>18</v>
      </c>
      <c r="F25">
        <v>0.7</v>
      </c>
    </row>
  </sheetData>
  <autoFilter ref="B2:J25" xr:uid="{C9D642CA-0920-4E83-B19B-B3388E729E93}">
    <filterColumn colId="2">
      <filters>
        <filter val="1.8"/>
        <filter val="3.3"/>
      </filters>
    </filterColumn>
  </autoFilter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72F30-1DBB-4F67-936F-64197A46830F}">
  <dimension ref="B2:L6"/>
  <sheetViews>
    <sheetView workbookViewId="0">
      <selection activeCell="D6" sqref="D6"/>
    </sheetView>
  </sheetViews>
  <sheetFormatPr defaultRowHeight="15" x14ac:dyDescent="0.25"/>
  <cols>
    <col min="7" max="7" width="16.28515625" customWidth="1"/>
    <col min="8" max="8" width="11" customWidth="1"/>
  </cols>
  <sheetData>
    <row r="2" spans="2:12" x14ac:dyDescent="0.25">
      <c r="C2" t="s">
        <v>48</v>
      </c>
      <c r="D2" t="s">
        <v>49</v>
      </c>
      <c r="E2" t="s">
        <v>50</v>
      </c>
    </row>
    <row r="3" spans="2:12" x14ac:dyDescent="0.25">
      <c r="B3" t="s">
        <v>46</v>
      </c>
      <c r="C3">
        <v>1.1639999999999999</v>
      </c>
      <c r="D3">
        <v>1.2270000000000001</v>
      </c>
      <c r="E3">
        <v>1.2869999999999999</v>
      </c>
      <c r="G3" t="s">
        <v>55</v>
      </c>
      <c r="H3">
        <v>8</v>
      </c>
      <c r="L3" t="s">
        <v>56</v>
      </c>
    </row>
    <row r="4" spans="2:12" x14ac:dyDescent="0.25">
      <c r="B4" t="s">
        <v>51</v>
      </c>
      <c r="C4">
        <f>D4-D4*0.01</f>
        <v>990000</v>
      </c>
      <c r="D4">
        <v>1000000</v>
      </c>
      <c r="E4">
        <f>D4+D4*0.01</f>
        <v>1010000</v>
      </c>
      <c r="G4" t="s">
        <v>54</v>
      </c>
      <c r="H4">
        <f>D4/((H3/D3)-1)</f>
        <v>181160.49018160344</v>
      </c>
    </row>
    <row r="5" spans="2:12" x14ac:dyDescent="0.25">
      <c r="B5" t="s">
        <v>52</v>
      </c>
      <c r="C5">
        <f>D5-D5*0.01</f>
        <v>180180</v>
      </c>
      <c r="D5">
        <v>182000</v>
      </c>
      <c r="E5">
        <f>D5+D5*0.01</f>
        <v>183820</v>
      </c>
      <c r="G5" t="s">
        <v>53</v>
      </c>
      <c r="H5">
        <v>182000</v>
      </c>
    </row>
    <row r="6" spans="2:12" x14ac:dyDescent="0.25">
      <c r="B6" t="s">
        <v>47</v>
      </c>
      <c r="C6">
        <f>C3*(C4+C5)/C5</f>
        <v>7.5596043956043957</v>
      </c>
      <c r="D6">
        <f>D3*(D4+D5)/D5</f>
        <v>7.9687582417582421</v>
      </c>
      <c r="E6">
        <f>E3*(E4+E5)/E5</f>
        <v>8.3584285714285702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89774-57C5-4BFB-8EE8-D0A0E5277925}">
  <dimension ref="B2:AF36"/>
  <sheetViews>
    <sheetView tabSelected="1" topLeftCell="A16" workbookViewId="0">
      <selection activeCell="P34" sqref="P34"/>
    </sheetView>
  </sheetViews>
  <sheetFormatPr defaultRowHeight="15" x14ac:dyDescent="0.25"/>
  <cols>
    <col min="2" max="2" width="11" customWidth="1"/>
    <col min="25" max="25" width="12" bestFit="1" customWidth="1"/>
    <col min="31" max="31" width="10.5703125" customWidth="1"/>
  </cols>
  <sheetData>
    <row r="2" spans="2:32" x14ac:dyDescent="0.25">
      <c r="B2" t="s">
        <v>57</v>
      </c>
    </row>
    <row r="4" spans="2:32" x14ac:dyDescent="0.25">
      <c r="X4" t="s">
        <v>58</v>
      </c>
      <c r="Y4">
        <v>3.3</v>
      </c>
    </row>
    <row r="5" spans="2:32" x14ac:dyDescent="0.25">
      <c r="X5" t="s">
        <v>59</v>
      </c>
      <c r="Y5">
        <v>5</v>
      </c>
    </row>
    <row r="6" spans="2:32" x14ac:dyDescent="0.25">
      <c r="X6" t="s">
        <v>60</v>
      </c>
      <c r="Y6">
        <v>0.78</v>
      </c>
    </row>
    <row r="7" spans="2:32" x14ac:dyDescent="0.25">
      <c r="X7" t="s">
        <v>61</v>
      </c>
      <c r="Y7">
        <f>0.3*Y6</f>
        <v>0.23399999999999999</v>
      </c>
    </row>
    <row r="8" spans="2:32" x14ac:dyDescent="0.25">
      <c r="X8" t="s">
        <v>62</v>
      </c>
      <c r="Y8">
        <v>1200000</v>
      </c>
    </row>
    <row r="10" spans="2:32" x14ac:dyDescent="0.25">
      <c r="X10" t="s">
        <v>63</v>
      </c>
      <c r="Y10">
        <f>Y4*(Y5-Y4)/(Y5*Y7*Y8)</f>
        <v>3.9957264957264957E-6</v>
      </c>
    </row>
    <row r="12" spans="2:32" x14ac:dyDescent="0.25">
      <c r="X12" t="s">
        <v>64</v>
      </c>
    </row>
    <row r="16" spans="2:32" x14ac:dyDescent="0.25">
      <c r="AE16" t="s">
        <v>58</v>
      </c>
      <c r="AF16">
        <v>3.3</v>
      </c>
    </row>
    <row r="17" spans="2:32" x14ac:dyDescent="0.25">
      <c r="AE17" t="s">
        <v>59</v>
      </c>
      <c r="AF17">
        <v>5</v>
      </c>
    </row>
    <row r="18" spans="2:32" x14ac:dyDescent="0.25">
      <c r="AE18" t="s">
        <v>67</v>
      </c>
      <c r="AF18">
        <v>1200000</v>
      </c>
    </row>
    <row r="19" spans="2:32" x14ac:dyDescent="0.25">
      <c r="J19" t="s">
        <v>66</v>
      </c>
      <c r="AE19" t="s">
        <v>68</v>
      </c>
      <c r="AF19">
        <f>22*10^-6</f>
        <v>2.1999999999999999E-5</v>
      </c>
    </row>
    <row r="20" spans="2:32" x14ac:dyDescent="0.25">
      <c r="AE20" t="s">
        <v>69</v>
      </c>
      <c r="AF20">
        <f>1*10^(-6)</f>
        <v>9.9999999999999995E-7</v>
      </c>
    </row>
    <row r="21" spans="2:32" x14ac:dyDescent="0.25">
      <c r="AE21" t="s">
        <v>70</v>
      </c>
      <c r="AF21">
        <f>(AF16/(8*AF18*AF18*AF20*AF19))*(1-(AF16/AF17))</f>
        <v>4.4270833333333341E-3</v>
      </c>
    </row>
    <row r="23" spans="2:32" x14ac:dyDescent="0.25">
      <c r="AE23" t="s">
        <v>71</v>
      </c>
    </row>
    <row r="30" spans="2:32" x14ac:dyDescent="0.25">
      <c r="B30" t="s">
        <v>65</v>
      </c>
    </row>
    <row r="32" spans="2:32" x14ac:dyDescent="0.25">
      <c r="B32" t="s">
        <v>58</v>
      </c>
      <c r="C32">
        <v>3.3</v>
      </c>
    </row>
    <row r="33" spans="2:3" x14ac:dyDescent="0.25">
      <c r="B33" t="s">
        <v>52</v>
      </c>
      <c r="C33">
        <f>C34/((C32/0.6)-1)</f>
        <v>44444.444444444445</v>
      </c>
    </row>
    <row r="34" spans="2:3" x14ac:dyDescent="0.25">
      <c r="B34" t="s">
        <v>51</v>
      </c>
      <c r="C34">
        <v>200000</v>
      </c>
    </row>
    <row r="35" spans="2:3" x14ac:dyDescent="0.25">
      <c r="B35" t="s">
        <v>73</v>
      </c>
      <c r="C35">
        <v>44200</v>
      </c>
    </row>
    <row r="36" spans="2:3" x14ac:dyDescent="0.25">
      <c r="B36" t="s">
        <v>72</v>
      </c>
      <c r="C36">
        <f>((C34/C35)+1)*0.6</f>
        <v>3.3149321266968323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958B1-DD06-46DE-95CF-1E0ABCDE2D28}">
  <dimension ref="B31:F34"/>
  <sheetViews>
    <sheetView workbookViewId="0">
      <selection activeCell="K38" sqref="K38"/>
    </sheetView>
  </sheetViews>
  <sheetFormatPr defaultRowHeight="15" x14ac:dyDescent="0.25"/>
  <sheetData>
    <row r="31" spans="2:6" x14ac:dyDescent="0.25">
      <c r="B31" t="s">
        <v>21</v>
      </c>
      <c r="E31" t="s">
        <v>20</v>
      </c>
    </row>
    <row r="32" spans="2:6" x14ac:dyDescent="0.25">
      <c r="B32" t="s">
        <v>51</v>
      </c>
      <c r="C32">
        <f>C33*((C34/0.6)-1)</f>
        <v>100000.00000000001</v>
      </c>
      <c r="E32" t="s">
        <v>51</v>
      </c>
      <c r="F32">
        <f>F33*((F34/0.6)-1)</f>
        <v>100000.00000000003</v>
      </c>
    </row>
    <row r="33" spans="2:6" x14ac:dyDescent="0.25">
      <c r="B33" t="s">
        <v>52</v>
      </c>
      <c r="C33">
        <v>75000</v>
      </c>
      <c r="E33" t="s">
        <v>52</v>
      </c>
      <c r="F33">
        <v>80000</v>
      </c>
    </row>
    <row r="34" spans="2:6" x14ac:dyDescent="0.25">
      <c r="B34" t="s">
        <v>58</v>
      </c>
      <c r="C34">
        <v>1.4</v>
      </c>
      <c r="E34" t="s">
        <v>58</v>
      </c>
      <c r="F34">
        <v>1.35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Power Budget</vt:lpstr>
      <vt:lpstr>P5V OVLO</vt:lpstr>
      <vt:lpstr>P3V3</vt:lpstr>
      <vt:lpstr>P1V4_SOC &amp; P1V35_DRAM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Wolfe</dc:creator>
  <cp:lastModifiedBy>Andrew Wolfe</cp:lastModifiedBy>
  <dcterms:created xsi:type="dcterms:W3CDTF">2025-11-15T15:03:51Z</dcterms:created>
  <dcterms:modified xsi:type="dcterms:W3CDTF">2026-01-20T01:27:28Z</dcterms:modified>
</cp:coreProperties>
</file>